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8_2022\HKI 2020-2021\Do_an\"/>
    </mc:Choice>
  </mc:AlternateContent>
  <xr:revisionPtr revIDLastSave="0" documentId="13_ncr:1_{25701F57-2200-459E-9EEC-3D4BA930C855}" xr6:coauthVersionLast="45" xr6:coauthVersionMax="45" xr10:uidLastSave="{00000000-0000-0000-0000-000000000000}"/>
  <bookViews>
    <workbookView xWindow="1812" yWindow="2268" windowWidth="17280" windowHeight="8964" xr2:uid="{A996DBD4-B3CF-4508-8C5E-F76702DB82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2" i="1"/>
  <c r="C10" i="1"/>
  <c r="C8" i="1"/>
  <c r="C7" i="1"/>
  <c r="C6" i="1"/>
</calcChain>
</file>

<file path=xl/sharedStrings.xml><?xml version="1.0" encoding="utf-8"?>
<sst xmlns="http://schemas.openxmlformats.org/spreadsheetml/2006/main" count="25" uniqueCount="22">
  <si>
    <t>Caculate the power of the conveyor</t>
  </si>
  <si>
    <t>Q</t>
  </si>
  <si>
    <t>p/h</t>
  </si>
  <si>
    <t>l</t>
  </si>
  <si>
    <t>mm</t>
  </si>
  <si>
    <t>m</t>
  </si>
  <si>
    <t>V</t>
  </si>
  <si>
    <t>m/s</t>
  </si>
  <si>
    <t>M</t>
  </si>
  <si>
    <t>kg</t>
  </si>
  <si>
    <t>M_t</t>
  </si>
  <si>
    <t>khối lượng boxes</t>
  </si>
  <si>
    <t>khối lượng dây băng tải</t>
  </si>
  <si>
    <t>tổng khối lượng</t>
  </si>
  <si>
    <t>F</t>
  </si>
  <si>
    <t>f</t>
  </si>
  <si>
    <t>hs ma sát</t>
  </si>
  <si>
    <t>N</t>
  </si>
  <si>
    <t>P</t>
  </si>
  <si>
    <t>W</t>
  </si>
  <si>
    <t>tính toán truyền động đai</t>
  </si>
  <si>
    <t>công suất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</si>
</sst>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5" tint="-0.249977111117893"/>
      <name val="Calibri"/>
      <family val="2"/>
      <scheme val="minor"/>
    </font>
    <font>
      <sz val="24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9A0E-CC66-4D85-A1B1-39F219764F51}">
  <dimension ref="A2:F17"/>
  <sheetViews>
    <sheetView tabSelected="1" workbookViewId="0">
      <selection activeCell="D17" sqref="D17"/>
    </sheetView>
  </sheetViews>
  <sheetFormatPr defaultRowHeight="14.4" x14ac:dyDescent="0.3"/>
  <sheetData>
    <row r="2" spans="1:6" ht="25.8" x14ac:dyDescent="0.5">
      <c r="A2" s="1" t="s">
        <v>0</v>
      </c>
    </row>
    <row r="4" spans="1:6" ht="21" x14ac:dyDescent="0.4">
      <c r="A4" s="2" t="s">
        <v>1</v>
      </c>
      <c r="B4" s="2"/>
      <c r="C4" s="2">
        <v>1200</v>
      </c>
      <c r="D4" s="2" t="s">
        <v>2</v>
      </c>
      <c r="E4" s="2"/>
      <c r="F4" s="2"/>
    </row>
    <row r="5" spans="1:6" ht="21" x14ac:dyDescent="0.4">
      <c r="A5" s="2" t="s">
        <v>3</v>
      </c>
      <c r="B5" s="2"/>
      <c r="C5" s="2">
        <v>200</v>
      </c>
      <c r="D5" s="2" t="s">
        <v>4</v>
      </c>
      <c r="E5" s="2"/>
      <c r="F5" s="2"/>
    </row>
    <row r="6" spans="1:6" ht="21" x14ac:dyDescent="0.4">
      <c r="A6" s="2"/>
      <c r="B6" s="2"/>
      <c r="C6" s="2">
        <f>C5/1000</f>
        <v>0.2</v>
      </c>
      <c r="D6" s="2" t="s">
        <v>5</v>
      </c>
      <c r="E6" s="2"/>
      <c r="F6" s="2"/>
    </row>
    <row r="7" spans="1:6" ht="21" x14ac:dyDescent="0.4">
      <c r="A7" s="2" t="s">
        <v>6</v>
      </c>
      <c r="B7" s="2"/>
      <c r="C7" s="2">
        <f>C4*C6/3600</f>
        <v>6.6666666666666666E-2</v>
      </c>
      <c r="D7" s="2" t="s">
        <v>7</v>
      </c>
      <c r="E7" s="2"/>
      <c r="F7" s="2"/>
    </row>
    <row r="8" spans="1:6" ht="21" x14ac:dyDescent="0.4">
      <c r="A8" s="2" t="s">
        <v>8</v>
      </c>
      <c r="B8" s="2"/>
      <c r="C8" s="2">
        <f>0.6*4</f>
        <v>2.4</v>
      </c>
      <c r="D8" s="2" t="s">
        <v>9</v>
      </c>
      <c r="E8" s="2" t="s">
        <v>11</v>
      </c>
      <c r="F8" s="2"/>
    </row>
    <row r="9" spans="1:6" ht="21" x14ac:dyDescent="0.4">
      <c r="A9" s="2" t="s">
        <v>5</v>
      </c>
      <c r="B9" s="2"/>
      <c r="C9" s="2">
        <v>1.4</v>
      </c>
      <c r="D9" s="2" t="s">
        <v>9</v>
      </c>
      <c r="E9" s="2" t="s">
        <v>12</v>
      </c>
      <c r="F9" s="2"/>
    </row>
    <row r="10" spans="1:6" ht="21" x14ac:dyDescent="0.4">
      <c r="A10" s="2" t="s">
        <v>10</v>
      </c>
      <c r="B10" s="2"/>
      <c r="C10" s="2">
        <f>C8+C9</f>
        <v>3.8</v>
      </c>
      <c r="D10" s="2" t="s">
        <v>9</v>
      </c>
      <c r="E10" s="2" t="s">
        <v>13</v>
      </c>
      <c r="F10" s="2"/>
    </row>
    <row r="11" spans="1:6" ht="21" x14ac:dyDescent="0.4">
      <c r="A11" s="2" t="s">
        <v>15</v>
      </c>
      <c r="B11" s="2"/>
      <c r="C11" s="2">
        <v>0.5</v>
      </c>
      <c r="D11" s="2"/>
      <c r="E11" s="2" t="s">
        <v>16</v>
      </c>
      <c r="F11" s="2"/>
    </row>
    <row r="12" spans="1:6" ht="21" x14ac:dyDescent="0.4">
      <c r="A12" s="2" t="s">
        <v>14</v>
      </c>
      <c r="B12" s="2"/>
      <c r="C12" s="2">
        <f>C10*9.8*C11</f>
        <v>18.62</v>
      </c>
      <c r="D12" s="2" t="s">
        <v>17</v>
      </c>
      <c r="E12" s="2"/>
      <c r="F12" s="2"/>
    </row>
    <row r="13" spans="1:6" ht="21" x14ac:dyDescent="0.4">
      <c r="A13" s="2" t="s">
        <v>18</v>
      </c>
      <c r="B13" s="2"/>
      <c r="C13" s="2">
        <f>C12*C7</f>
        <v>1.2413333333333334</v>
      </c>
      <c r="D13" s="2" t="s">
        <v>19</v>
      </c>
      <c r="E13" s="2"/>
      <c r="F13" s="2"/>
    </row>
    <row r="14" spans="1:6" ht="21" x14ac:dyDescent="0.4">
      <c r="A14" s="2"/>
      <c r="B14" s="2"/>
      <c r="C14" s="2"/>
      <c r="D14" s="2"/>
      <c r="E14" s="2"/>
      <c r="F14" s="2"/>
    </row>
    <row r="15" spans="1:6" ht="31.2" x14ac:dyDescent="0.6">
      <c r="A15" s="3" t="s">
        <v>20</v>
      </c>
      <c r="B15" s="2"/>
      <c r="C15" s="2"/>
      <c r="D15" s="2"/>
      <c r="E15" s="2"/>
      <c r="F15" s="2"/>
    </row>
    <row r="17" spans="1:1" ht="21" x14ac:dyDescent="0.4">
      <c r="A17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2020-12-22T23:29:12Z</dcterms:created>
  <dcterms:modified xsi:type="dcterms:W3CDTF">2020-12-23T02:20:31Z</dcterms:modified>
</cp:coreProperties>
</file>