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8_2022\HKI 2020-2021\Do_an\"/>
    </mc:Choice>
  </mc:AlternateContent>
  <xr:revisionPtr revIDLastSave="0" documentId="13_ncr:1_{F6BAABF2-A363-4BCB-BA3A-AC6FA3F0C0C8}" xr6:coauthVersionLast="45" xr6:coauthVersionMax="45" xr10:uidLastSave="{00000000-0000-0000-0000-000000000000}"/>
  <bookViews>
    <workbookView xWindow="-108" yWindow="348" windowWidth="23256" windowHeight="12720" xr2:uid="{4BE5B52E-C4D3-4060-8B1B-9EDE1DEA14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D44" i="1"/>
  <c r="D42" i="1"/>
  <c r="D35" i="1"/>
  <c r="C27" i="1"/>
  <c r="C28" i="1"/>
  <c r="C20" i="1"/>
  <c r="C15" i="1"/>
  <c r="C13" i="1"/>
  <c r="C12" i="1"/>
  <c r="E5" i="1"/>
  <c r="C6" i="1"/>
</calcChain>
</file>

<file path=xl/sharedStrings.xml><?xml version="1.0" encoding="utf-8"?>
<sst xmlns="http://schemas.openxmlformats.org/spreadsheetml/2006/main" count="60" uniqueCount="47">
  <si>
    <t>F</t>
  </si>
  <si>
    <t>N</t>
  </si>
  <si>
    <t>V</t>
  </si>
  <si>
    <t>m/s</t>
  </si>
  <si>
    <t>số liệu Phong</t>
  </si>
  <si>
    <t>n</t>
  </si>
  <si>
    <t>rpm</t>
  </si>
  <si>
    <t>công suất trục công tác (P)</t>
  </si>
  <si>
    <t>W</t>
  </si>
  <si>
    <t xml:space="preserve">chọn bộ truyền </t>
  </si>
  <si>
    <t>đaithang</t>
  </si>
  <si>
    <t>chọn động cơ</t>
  </si>
  <si>
    <t>https://www.thegioiic.com/products/rs550-dong-co-dc-6-12vdc-8800-rpm-truc-3-17mm</t>
  </si>
  <si>
    <t>có phải tính theo ct v = wr</t>
  </si>
  <si>
    <t>n_dai thang</t>
  </si>
  <si>
    <t>hiêu suất chung</t>
  </si>
  <si>
    <t>n_l</t>
  </si>
  <si>
    <t>n_d</t>
  </si>
  <si>
    <t>p_dc lơn hơn</t>
  </si>
  <si>
    <t xml:space="preserve">p_dc </t>
  </si>
  <si>
    <t>hs an toàn</t>
  </si>
  <si>
    <t>tính toán thông số trên trục công tác</t>
  </si>
  <si>
    <t>T (moment xoan)</t>
  </si>
  <si>
    <t>n_ct</t>
  </si>
  <si>
    <t>N.mm</t>
  </si>
  <si>
    <t>tính toán thông sô trên trục động cơ</t>
  </si>
  <si>
    <t>p_dc</t>
  </si>
  <si>
    <t>T</t>
  </si>
  <si>
    <t>n_dc</t>
  </si>
  <si>
    <t>tính toán bộ truyền ngoai</t>
  </si>
  <si>
    <t>thông số đầu vào</t>
  </si>
  <si>
    <t>P1</t>
  </si>
  <si>
    <t>Kw</t>
  </si>
  <si>
    <t>n1</t>
  </si>
  <si>
    <t>u</t>
  </si>
  <si>
    <t>chọn</t>
  </si>
  <si>
    <t>d1</t>
  </si>
  <si>
    <t>mm</t>
  </si>
  <si>
    <t>d2</t>
  </si>
  <si>
    <t>z1</t>
  </si>
  <si>
    <t>z2</t>
  </si>
  <si>
    <t>V1</t>
  </si>
  <si>
    <t>&lt;&lt;25m/s</t>
  </si>
  <si>
    <t>nên chọn đai thường</t>
  </si>
  <si>
    <t>khoảng cách trục a</t>
  </si>
  <si>
    <t>L</t>
  </si>
  <si>
    <t xml:space="preserve">chọn 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</si>
</sst>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11</xdr:row>
      <xdr:rowOff>0</xdr:rowOff>
    </xdr:from>
    <xdr:to>
      <xdr:col>13</xdr:col>
      <xdr:colOff>162421</xdr:colOff>
      <xdr:row>18</xdr:row>
      <xdr:rowOff>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D0903-E683-4BAC-B93E-ED6BB7F3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5440" y="1645920"/>
          <a:ext cx="355332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289560</xdr:colOff>
      <xdr:row>36</xdr:row>
      <xdr:rowOff>30480</xdr:rowOff>
    </xdr:from>
    <xdr:to>
      <xdr:col>13</xdr:col>
      <xdr:colOff>353187</xdr:colOff>
      <xdr:row>38</xdr:row>
      <xdr:rowOff>241047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10C08-56E9-4CA3-B5F9-F201D5CE5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0" y="8031480"/>
          <a:ext cx="3111627" cy="743967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42</xdr:row>
      <xdr:rowOff>60960</xdr:rowOff>
    </xdr:from>
    <xdr:to>
      <xdr:col>12</xdr:col>
      <xdr:colOff>563880</xdr:colOff>
      <xdr:row>46</xdr:row>
      <xdr:rowOff>28652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7A9BCE-F9D2-4BC5-8719-4645309D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27520" y="9159240"/>
          <a:ext cx="2171700" cy="103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egioiic.com/products/rs550-dong-co-dc-6-12vdc-8800-rpm-truc-3-17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91C1-D32D-4660-A645-9CCDC2173C9C}">
  <dimension ref="A1:H48"/>
  <sheetViews>
    <sheetView tabSelected="1" topLeftCell="A4" workbookViewId="0">
      <selection activeCell="J33" sqref="J33"/>
    </sheetView>
  </sheetViews>
  <sheetFormatPr defaultRowHeight="14.4" x14ac:dyDescent="0.3"/>
  <cols>
    <col min="1" max="1" width="21.88671875" customWidth="1"/>
    <col min="3" max="3" width="12.109375" bestFit="1" customWidth="1"/>
    <col min="5" max="5" width="9" bestFit="1" customWidth="1"/>
  </cols>
  <sheetData>
    <row r="1" spans="1:8" ht="18" x14ac:dyDescent="0.35">
      <c r="A1" s="1"/>
      <c r="B1" s="1"/>
      <c r="C1" s="1" t="s">
        <v>4</v>
      </c>
      <c r="D1" s="1"/>
      <c r="E1" s="1"/>
      <c r="F1" s="1"/>
      <c r="G1" s="1"/>
      <c r="H1" s="1"/>
    </row>
    <row r="2" spans="1:8" ht="18" x14ac:dyDescent="0.35">
      <c r="A2" s="1"/>
      <c r="B2" s="1"/>
      <c r="C2" s="1"/>
      <c r="D2" s="1"/>
      <c r="E2" s="1"/>
      <c r="F2" s="1"/>
      <c r="G2" s="1"/>
      <c r="H2" s="1"/>
    </row>
    <row r="3" spans="1:8" ht="18" x14ac:dyDescent="0.35">
      <c r="A3" s="1" t="s">
        <v>0</v>
      </c>
      <c r="B3" s="1"/>
      <c r="C3" s="1">
        <v>100</v>
      </c>
      <c r="D3" s="1" t="s">
        <v>1</v>
      </c>
      <c r="E3" s="1"/>
      <c r="F3" s="1"/>
      <c r="G3" s="1"/>
      <c r="H3" s="1"/>
    </row>
    <row r="4" spans="1:8" ht="18" x14ac:dyDescent="0.35">
      <c r="A4" s="1" t="s">
        <v>2</v>
      </c>
      <c r="B4" s="1"/>
      <c r="C4" s="1">
        <v>0.1</v>
      </c>
      <c r="D4" s="1" t="s">
        <v>3</v>
      </c>
      <c r="E4" s="1"/>
      <c r="F4" s="1"/>
      <c r="G4" s="1"/>
      <c r="H4" s="1"/>
    </row>
    <row r="5" spans="1:8" ht="18" x14ac:dyDescent="0.35">
      <c r="A5" s="1" t="s">
        <v>5</v>
      </c>
      <c r="B5" s="1"/>
      <c r="C5" s="1">
        <v>31.8</v>
      </c>
      <c r="D5" s="1" t="s">
        <v>6</v>
      </c>
      <c r="E5" s="1">
        <f>C4/50*1000</f>
        <v>2</v>
      </c>
      <c r="F5" s="1" t="s">
        <v>13</v>
      </c>
      <c r="G5" s="1"/>
      <c r="H5" s="1"/>
    </row>
    <row r="6" spans="1:8" ht="18" x14ac:dyDescent="0.35">
      <c r="A6" s="1" t="s">
        <v>7</v>
      </c>
      <c r="B6" s="1"/>
      <c r="C6" s="1">
        <f>C3*C4</f>
        <v>10</v>
      </c>
      <c r="D6" s="1" t="s">
        <v>8</v>
      </c>
      <c r="E6" s="1"/>
      <c r="F6" s="1"/>
      <c r="G6" s="1"/>
      <c r="H6" s="1"/>
    </row>
    <row r="7" spans="1:8" ht="18" x14ac:dyDescent="0.35">
      <c r="A7" s="1" t="s">
        <v>9</v>
      </c>
      <c r="B7" s="1"/>
      <c r="C7" s="1" t="s">
        <v>10</v>
      </c>
      <c r="D7" s="1"/>
      <c r="E7" s="1"/>
      <c r="F7" s="1"/>
      <c r="G7" s="1"/>
      <c r="H7" s="1"/>
    </row>
    <row r="8" spans="1:8" ht="18" x14ac:dyDescent="0.35">
      <c r="A8" s="1" t="s">
        <v>11</v>
      </c>
      <c r="B8" s="1"/>
      <c r="C8" s="2" t="s">
        <v>12</v>
      </c>
      <c r="D8" s="1"/>
      <c r="E8" s="1"/>
      <c r="F8" s="1"/>
      <c r="G8" s="1"/>
      <c r="H8" s="1"/>
    </row>
    <row r="9" spans="1:8" ht="18" x14ac:dyDescent="0.35">
      <c r="A9" s="1" t="s">
        <v>14</v>
      </c>
      <c r="B9" s="1"/>
      <c r="C9" s="1">
        <v>42</v>
      </c>
      <c r="D9" s="1" t="s">
        <v>6</v>
      </c>
      <c r="E9" s="1"/>
      <c r="F9" s="1"/>
      <c r="G9" s="1"/>
      <c r="H9" s="1"/>
    </row>
    <row r="10" spans="1:8" ht="18" x14ac:dyDescent="0.35">
      <c r="A10" s="1" t="s">
        <v>16</v>
      </c>
      <c r="B10" s="1"/>
      <c r="C10" s="1">
        <v>0.995</v>
      </c>
      <c r="D10" s="1"/>
      <c r="E10" s="1"/>
      <c r="F10" s="1"/>
      <c r="G10" s="1"/>
      <c r="H10" s="1"/>
    </row>
    <row r="11" spans="1:8" ht="18" x14ac:dyDescent="0.35">
      <c r="A11" s="1" t="s">
        <v>17</v>
      </c>
      <c r="B11" s="1"/>
      <c r="C11" s="1">
        <v>0.96</v>
      </c>
      <c r="D11" s="1"/>
      <c r="E11" s="1"/>
      <c r="F11" s="1"/>
      <c r="G11" s="1"/>
      <c r="H11" s="1"/>
    </row>
    <row r="12" spans="1:8" ht="18" x14ac:dyDescent="0.35">
      <c r="A12" s="1" t="s">
        <v>15</v>
      </c>
      <c r="B12" s="1"/>
      <c r="C12" s="1">
        <f>C11*C10</f>
        <v>0.95519999999999994</v>
      </c>
      <c r="D12" s="1"/>
      <c r="E12" s="1"/>
      <c r="F12" s="1"/>
      <c r="G12" s="1"/>
      <c r="H12" s="1"/>
    </row>
    <row r="13" spans="1:8" ht="18" x14ac:dyDescent="0.35">
      <c r="A13" s="1" t="s">
        <v>18</v>
      </c>
      <c r="B13" s="1"/>
      <c r="C13" s="1">
        <f>C6/C12</f>
        <v>10.469011725293132</v>
      </c>
      <c r="D13" s="1" t="s">
        <v>8</v>
      </c>
      <c r="E13" s="1"/>
      <c r="F13" s="1"/>
      <c r="G13" s="1"/>
      <c r="H13" s="1"/>
    </row>
    <row r="14" spans="1:8" ht="18" x14ac:dyDescent="0.35">
      <c r="A14" s="1" t="s">
        <v>20</v>
      </c>
      <c r="B14" s="1"/>
      <c r="C14" s="1">
        <v>2</v>
      </c>
      <c r="D14" s="1"/>
      <c r="E14" s="1"/>
      <c r="F14" s="1"/>
      <c r="G14" s="1"/>
      <c r="H14" s="1"/>
    </row>
    <row r="15" spans="1:8" ht="18" x14ac:dyDescent="0.35">
      <c r="A15" s="1" t="s">
        <v>19</v>
      </c>
      <c r="B15" s="1"/>
      <c r="C15" s="1">
        <f>C14*C13</f>
        <v>20.938023450586265</v>
      </c>
      <c r="D15" s="1" t="s">
        <v>8</v>
      </c>
      <c r="E15" s="1"/>
      <c r="F15" s="1"/>
      <c r="G15" s="1"/>
      <c r="H15" s="1"/>
    </row>
    <row r="16" spans="1:8" ht="18" x14ac:dyDescent="0.35">
      <c r="A16" s="1"/>
      <c r="B16" s="1"/>
      <c r="C16" s="1"/>
      <c r="D16" s="1"/>
      <c r="E16" s="1"/>
      <c r="F16" s="1"/>
      <c r="G16" s="1"/>
      <c r="H16" s="1"/>
    </row>
    <row r="17" spans="1:8" ht="18" x14ac:dyDescent="0.35">
      <c r="A17" s="1"/>
      <c r="B17" s="1"/>
      <c r="C17" s="1"/>
      <c r="D17" s="1"/>
      <c r="E17" s="1"/>
      <c r="F17" s="1"/>
      <c r="G17" s="1"/>
      <c r="H17" s="1"/>
    </row>
    <row r="18" spans="1:8" ht="18" x14ac:dyDescent="0.35">
      <c r="A18" s="1" t="s">
        <v>21</v>
      </c>
      <c r="B18" s="1"/>
      <c r="C18" s="1"/>
      <c r="D18" s="1"/>
      <c r="E18" s="1"/>
      <c r="F18" s="1"/>
      <c r="G18" s="1"/>
      <c r="H18" s="1"/>
    </row>
    <row r="19" spans="1:8" ht="18" x14ac:dyDescent="0.35">
      <c r="A19" s="1" t="s">
        <v>23</v>
      </c>
      <c r="B19" s="1"/>
      <c r="C19" s="1">
        <v>32</v>
      </c>
      <c r="D19" s="1"/>
      <c r="E19" s="1" t="s">
        <v>6</v>
      </c>
      <c r="F19" s="1"/>
      <c r="G19" s="1"/>
      <c r="H19" s="1"/>
    </row>
    <row r="20" spans="1:8" ht="18" x14ac:dyDescent="0.35">
      <c r="A20" s="1" t="s">
        <v>22</v>
      </c>
      <c r="B20" s="1"/>
      <c r="C20" s="1">
        <f>9.55*1000000/C6/C19</f>
        <v>29843.75</v>
      </c>
      <c r="D20" s="1" t="s">
        <v>24</v>
      </c>
      <c r="E20" s="1"/>
      <c r="F20" s="1"/>
      <c r="G20" s="1"/>
      <c r="H20" s="1"/>
    </row>
    <row r="21" spans="1:8" ht="18" x14ac:dyDescent="0.35">
      <c r="A21" s="1"/>
      <c r="B21" s="1"/>
      <c r="C21" s="1"/>
      <c r="D21" s="1"/>
      <c r="E21" s="1"/>
      <c r="F21" s="1"/>
      <c r="G21" s="1"/>
      <c r="H21" s="1"/>
    </row>
    <row r="22" spans="1:8" ht="18" x14ac:dyDescent="0.35">
      <c r="A22" s="1"/>
      <c r="B22" s="1"/>
      <c r="C22" s="1"/>
      <c r="D22" s="1"/>
      <c r="E22" s="1"/>
      <c r="F22" s="1"/>
      <c r="G22" s="1"/>
      <c r="H22" s="1"/>
    </row>
    <row r="23" spans="1:8" ht="18" x14ac:dyDescent="0.35">
      <c r="A23" s="1"/>
      <c r="B23" s="1"/>
      <c r="C23" s="1"/>
      <c r="D23" s="1"/>
      <c r="E23" s="1"/>
      <c r="F23" s="1"/>
      <c r="G23" s="1"/>
      <c r="H23" s="1"/>
    </row>
    <row r="24" spans="1:8" ht="18" x14ac:dyDescent="0.35">
      <c r="A24" s="1" t="s">
        <v>25</v>
      </c>
      <c r="B24" s="1"/>
      <c r="C24" s="1"/>
      <c r="D24" s="1"/>
      <c r="E24" s="1"/>
      <c r="F24" s="1"/>
      <c r="G24" s="1"/>
      <c r="H24" s="1"/>
    </row>
    <row r="25" spans="1:8" ht="18" x14ac:dyDescent="0.35">
      <c r="A25" s="1"/>
      <c r="B25" s="1"/>
      <c r="C25" s="1"/>
      <c r="D25" s="1"/>
      <c r="E25" s="1"/>
      <c r="F25" s="1"/>
      <c r="G25" s="1"/>
      <c r="H25" s="1"/>
    </row>
    <row r="26" spans="1:8" ht="18" x14ac:dyDescent="0.35">
      <c r="A26" s="1" t="s">
        <v>28</v>
      </c>
      <c r="B26" s="1"/>
      <c r="C26" s="1">
        <v>64</v>
      </c>
      <c r="D26" s="1"/>
      <c r="E26" s="1" t="s">
        <v>6</v>
      </c>
      <c r="F26" s="1"/>
      <c r="G26" s="1"/>
      <c r="H26" s="1"/>
    </row>
    <row r="27" spans="1:8" ht="18" x14ac:dyDescent="0.35">
      <c r="A27" s="1" t="s">
        <v>26</v>
      </c>
      <c r="B27" s="1"/>
      <c r="C27" s="1">
        <f>C6/C12/1000</f>
        <v>1.0469011725293133E-2</v>
      </c>
      <c r="D27" s="1"/>
      <c r="E27" s="1"/>
      <c r="F27" s="1"/>
      <c r="G27" s="1"/>
      <c r="H27" s="1"/>
    </row>
    <row r="28" spans="1:8" ht="18" x14ac:dyDescent="0.35">
      <c r="A28" s="1" t="s">
        <v>27</v>
      </c>
      <c r="B28" s="1"/>
      <c r="C28" s="1">
        <f>9.55*1000000*C27/C26</f>
        <v>1562.1728433835847</v>
      </c>
      <c r="D28" s="1" t="s">
        <v>24</v>
      </c>
      <c r="E28" s="1"/>
      <c r="F28" s="1"/>
      <c r="G28" s="1"/>
      <c r="H28" s="1"/>
    </row>
    <row r="29" spans="1:8" ht="18" x14ac:dyDescent="0.35">
      <c r="A29" s="1"/>
      <c r="B29" s="1"/>
      <c r="C29" s="1"/>
      <c r="D29" s="1"/>
      <c r="E29" s="1"/>
      <c r="F29" s="1"/>
      <c r="G29" s="1"/>
      <c r="H29" s="1"/>
    </row>
    <row r="30" spans="1:8" ht="18" x14ac:dyDescent="0.35">
      <c r="A30" s="1"/>
      <c r="B30" s="1"/>
      <c r="C30" s="1"/>
      <c r="D30" s="1"/>
      <c r="E30" s="1"/>
      <c r="F30" s="1"/>
      <c r="G30" s="1"/>
      <c r="H30" s="1"/>
    </row>
    <row r="31" spans="1:8" ht="18" x14ac:dyDescent="0.35">
      <c r="A31" s="1" t="s">
        <v>29</v>
      </c>
    </row>
    <row r="32" spans="1:8" ht="21" x14ac:dyDescent="0.4">
      <c r="A32" s="3"/>
      <c r="B32" s="3"/>
      <c r="C32" s="3"/>
      <c r="D32" s="3"/>
      <c r="E32" s="3"/>
      <c r="F32" s="3"/>
      <c r="G32" s="3"/>
    </row>
    <row r="33" spans="1:7" ht="21" x14ac:dyDescent="0.4">
      <c r="A33" s="3" t="s">
        <v>30</v>
      </c>
      <c r="B33" s="3"/>
      <c r="C33" s="3"/>
      <c r="D33" s="3"/>
      <c r="E33" s="3"/>
      <c r="F33" s="3"/>
      <c r="G33" s="3"/>
    </row>
    <row r="34" spans="1:7" ht="21" x14ac:dyDescent="0.4">
      <c r="A34" s="3"/>
      <c r="B34" s="3" t="s">
        <v>31</v>
      </c>
      <c r="C34" s="3"/>
      <c r="D34" s="3">
        <v>10</v>
      </c>
      <c r="E34" s="3" t="s">
        <v>8</v>
      </c>
      <c r="F34" s="3"/>
      <c r="G34" s="3"/>
    </row>
    <row r="35" spans="1:7" ht="21" x14ac:dyDescent="0.4">
      <c r="A35" s="3"/>
      <c r="B35" s="3"/>
      <c r="C35" s="3"/>
      <c r="D35" s="3">
        <f>D34/1000</f>
        <v>0.01</v>
      </c>
      <c r="E35" s="3" t="s">
        <v>32</v>
      </c>
      <c r="F35" s="3"/>
      <c r="G35" s="3"/>
    </row>
    <row r="36" spans="1:7" ht="21" x14ac:dyDescent="0.4">
      <c r="A36" s="3"/>
      <c r="B36" s="3" t="s">
        <v>33</v>
      </c>
      <c r="C36" s="3"/>
      <c r="D36" s="3">
        <v>64</v>
      </c>
      <c r="E36" s="3" t="s">
        <v>6</v>
      </c>
      <c r="F36" s="3"/>
      <c r="G36" s="3"/>
    </row>
    <row r="37" spans="1:7" ht="21" x14ac:dyDescent="0.4">
      <c r="A37" s="3"/>
      <c r="B37" s="3" t="s">
        <v>34</v>
      </c>
      <c r="C37" s="3"/>
      <c r="D37" s="3">
        <v>2</v>
      </c>
      <c r="E37" s="3"/>
      <c r="F37" s="3"/>
      <c r="G37" s="3"/>
    </row>
    <row r="38" spans="1:7" ht="21" x14ac:dyDescent="0.4">
      <c r="A38" s="3" t="s">
        <v>35</v>
      </c>
      <c r="B38" s="3" t="s">
        <v>36</v>
      </c>
      <c r="C38" s="3"/>
      <c r="D38" s="3">
        <v>24.8</v>
      </c>
      <c r="E38" s="3" t="s">
        <v>37</v>
      </c>
      <c r="F38" s="3"/>
      <c r="G38" s="3"/>
    </row>
    <row r="39" spans="1:7" ht="21" x14ac:dyDescent="0.4">
      <c r="A39" s="3"/>
      <c r="B39" s="3" t="s">
        <v>38</v>
      </c>
      <c r="C39" s="3"/>
      <c r="D39" s="3">
        <v>50.5</v>
      </c>
      <c r="E39" s="3" t="s">
        <v>37</v>
      </c>
      <c r="F39" s="3"/>
      <c r="G39" s="3"/>
    </row>
    <row r="40" spans="1:7" ht="21" x14ac:dyDescent="0.4">
      <c r="A40" s="3"/>
      <c r="B40" s="3" t="s">
        <v>39</v>
      </c>
      <c r="C40" s="3"/>
      <c r="D40" s="3">
        <v>40</v>
      </c>
      <c r="E40" s="3"/>
      <c r="F40" s="3"/>
      <c r="G40" s="3"/>
    </row>
    <row r="41" spans="1:7" ht="21" x14ac:dyDescent="0.4">
      <c r="A41" s="3"/>
      <c r="B41" s="3" t="s">
        <v>40</v>
      </c>
      <c r="C41" s="3"/>
      <c r="D41" s="3">
        <v>80</v>
      </c>
      <c r="E41" s="3"/>
      <c r="F41" s="3"/>
      <c r="G41" s="3"/>
    </row>
    <row r="42" spans="1:7" ht="21" x14ac:dyDescent="0.4">
      <c r="A42" s="3"/>
      <c r="B42" s="3" t="s">
        <v>41</v>
      </c>
      <c r="C42" s="3" t="s">
        <v>42</v>
      </c>
      <c r="D42" s="3">
        <f>PI()*D38*D36/60000</f>
        <v>8.3105597662961994E-2</v>
      </c>
      <c r="E42" s="3" t="s">
        <v>3</v>
      </c>
      <c r="F42" s="3"/>
      <c r="G42" s="3"/>
    </row>
    <row r="43" spans="1:7" ht="21" x14ac:dyDescent="0.4">
      <c r="A43" s="3"/>
      <c r="B43" s="3" t="s">
        <v>43</v>
      </c>
      <c r="C43" s="3"/>
      <c r="D43" s="3"/>
      <c r="E43" s="3"/>
      <c r="F43" s="3"/>
      <c r="G43" s="3"/>
    </row>
    <row r="44" spans="1:7" ht="21" x14ac:dyDescent="0.4">
      <c r="A44" s="3"/>
      <c r="B44" s="3" t="s">
        <v>44</v>
      </c>
      <c r="C44" s="3"/>
      <c r="D44" s="3">
        <f>1.2*D39</f>
        <v>60.599999999999994</v>
      </c>
      <c r="E44" s="3" t="s">
        <v>37</v>
      </c>
      <c r="F44" s="3"/>
      <c r="G44" s="3"/>
    </row>
    <row r="45" spans="1:7" ht="21" x14ac:dyDescent="0.4">
      <c r="A45" s="3"/>
      <c r="B45" s="3" t="s">
        <v>45</v>
      </c>
      <c r="C45" s="3"/>
      <c r="D45" s="3">
        <f>2*D44+(PI()*(D38+D39)/2+(D39-D38)^2/(4*D44))</f>
        <v>242.20575713702863</v>
      </c>
      <c r="E45" s="3" t="s">
        <v>37</v>
      </c>
      <c r="F45" s="3"/>
      <c r="G45" s="3"/>
    </row>
    <row r="46" spans="1:7" ht="21" x14ac:dyDescent="0.4">
      <c r="A46" s="3"/>
      <c r="B46" s="3"/>
      <c r="C46" s="3" t="s">
        <v>46</v>
      </c>
      <c r="D46" s="3">
        <v>260</v>
      </c>
      <c r="E46" s="3" t="s">
        <v>37</v>
      </c>
      <c r="F46" s="3"/>
      <c r="G46" s="3"/>
    </row>
    <row r="47" spans="1:7" ht="21" x14ac:dyDescent="0.4">
      <c r="A47" s="3"/>
      <c r="B47" s="3"/>
      <c r="C47" s="3"/>
      <c r="D47" s="3"/>
      <c r="E47" s="3"/>
      <c r="F47" s="3"/>
      <c r="G47" s="3"/>
    </row>
    <row r="48" spans="1:7" ht="21" x14ac:dyDescent="0.4">
      <c r="A48" s="3"/>
      <c r="B48" s="3"/>
      <c r="C48" s="3"/>
      <c r="D48" s="3"/>
      <c r="E48" s="3"/>
      <c r="F48" s="3"/>
      <c r="G48" s="3"/>
    </row>
  </sheetData>
  <hyperlinks>
    <hyperlink ref="C8" r:id="rId1" xr:uid="{1BD71BEC-84CE-4E1D-9C6D-D59338126D9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2020-12-26T07:47:43Z</dcterms:created>
  <dcterms:modified xsi:type="dcterms:W3CDTF">2020-12-26T09:04:35Z</dcterms:modified>
</cp:coreProperties>
</file>